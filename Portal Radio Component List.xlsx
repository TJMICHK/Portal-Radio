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mic\Downloads\"/>
    </mc:Choice>
  </mc:AlternateContent>
  <xr:revisionPtr revIDLastSave="0" documentId="13_ncr:1_{3E53383D-D4F8-47B4-9200-AF8E7C05D39C}" xr6:coauthVersionLast="47" xr6:coauthVersionMax="47" xr10:uidLastSave="{00000000-0000-0000-0000-000000000000}"/>
  <bookViews>
    <workbookView xWindow="14295" yWindow="0" windowWidth="14610" windowHeight="181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  <c r="D32" i="1"/>
  <c r="D28" i="1"/>
  <c r="E19" i="1"/>
  <c r="D19" i="1"/>
</calcChain>
</file>

<file path=xl/sharedStrings.xml><?xml version="1.0" encoding="utf-8"?>
<sst xmlns="http://schemas.openxmlformats.org/spreadsheetml/2006/main" count="47" uniqueCount="38">
  <si>
    <t>Name</t>
  </si>
  <si>
    <t>Quantity</t>
  </si>
  <si>
    <t>Link</t>
  </si>
  <si>
    <t>Antenna Pieces</t>
  </si>
  <si>
    <t>USB to USB C</t>
  </si>
  <si>
    <t>3A Wall Adapter</t>
  </si>
  <si>
    <t>USB C Breakout</t>
  </si>
  <si>
    <t>ESP32</t>
  </si>
  <si>
    <t>MAX98357 I2S 3W Amp</t>
  </si>
  <si>
    <t>3 Watt 8 Ohm Speaker</t>
  </si>
  <si>
    <t>Magnets</t>
  </si>
  <si>
    <t>Price (Individual)</t>
  </si>
  <si>
    <t>Price (Bundle)</t>
  </si>
  <si>
    <t>Inline Cord Switch</t>
  </si>
  <si>
    <t>https://www.amazon.com/dp/B0BWYBFPW8?ref=ppx_yo2ov_dt_b_fed_asin_title&amp;th=1</t>
  </si>
  <si>
    <t>https://www.amazon.com/gp/product/B08JTV8L9Q/ref=ewc_pr_img_1?smid=A2THNN8GOU1OSU&amp;th=1</t>
  </si>
  <si>
    <t>https://www.amazon.com/dp/B0BVY5VYQY?ref=ppx_yo2ov_dt_b_fed_asin_title&amp;th=1</t>
  </si>
  <si>
    <t>https://www.amazon.com/dp/B0DPJRLMDJ?ref=ppx_yo2ov_dt_b_fed_asin_title</t>
  </si>
  <si>
    <t>https://www.amazon.com/dp/B0BM5RNMZM?ref=ppx_yo2ov_dt_b_fed_asin_title&amp;th=1</t>
  </si>
  <si>
    <t>https://www.amazon.com/dp/B096M2HQLK?ref=ppx_yo2ov_dt_b_fed_asin_title</t>
  </si>
  <si>
    <t>https://www.amazon.com/dp/B07QJ8Y1SZ?ref=ppx_yo2ov_dt_b_fed_asin_title&amp;th=1</t>
  </si>
  <si>
    <t>https://www.amazon.com/dp/B0DP4TJTBH?ref=ppx_yo2ov_dt_b_fed_asin_title&amp;th=1</t>
  </si>
  <si>
    <t>https://www.amazon.com/gp/product/B0CXL18VBX/ref=ewc_pr_img_2?smid=A2Z4X3JE4ZUX4J&amp;th=1</t>
  </si>
  <si>
    <t>PCB</t>
  </si>
  <si>
    <t>https://github.com/TJMICHK/Portal-Radio</t>
  </si>
  <si>
    <t>Shell</t>
  </si>
  <si>
    <t>Base</t>
  </si>
  <si>
    <t>Face</t>
  </si>
  <si>
    <t>Knobs</t>
  </si>
  <si>
    <t>Printing Time:</t>
  </si>
  <si>
    <t>Printing Time (hours)</t>
  </si>
  <si>
    <t>Total Print Time</t>
  </si>
  <si>
    <t>Total Component Price</t>
  </si>
  <si>
    <t>Consider $1 per hour of printing</t>
  </si>
  <si>
    <t>Total Component + Print Price</t>
  </si>
  <si>
    <t>Consider $19 per hour of work</t>
  </si>
  <si>
    <t>Total Price</t>
  </si>
  <si>
    <t>Total Hours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</si>
</sst>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8"/>
  <sheetViews>
    <sheetView tabSelected="1" workbookViewId="0">
      <selection activeCell="F28" sqref="F28"/>
    </sheetView>
  </sheetViews>
  <sheetFormatPr defaultRowHeight="15" x14ac:dyDescent="0.25"/>
  <cols>
    <col min="1" max="1" width="9.140625" customWidth="1"/>
    <col min="2" max="2" width="30.140625" customWidth="1"/>
    <col min="3" max="3" width="20" customWidth="1"/>
    <col min="4" max="4" width="20.42578125" customWidth="1"/>
    <col min="5" max="5" width="14.28515625" customWidth="1"/>
    <col min="6" max="6" width="19.140625" customWidth="1"/>
  </cols>
  <sheetData>
    <row r="2" spans="2:6" x14ac:dyDescent="0.25">
      <c r="B2" t="s">
        <v>0</v>
      </c>
      <c r="C2" t="s">
        <v>1</v>
      </c>
      <c r="D2" t="s">
        <v>11</v>
      </c>
      <c r="E2" t="s">
        <v>12</v>
      </c>
      <c r="F2" t="s">
        <v>2</v>
      </c>
    </row>
    <row r="3" spans="2:6" x14ac:dyDescent="0.25">
      <c r="B3" t="s">
        <v>10</v>
      </c>
      <c r="C3">
        <v>4</v>
      </c>
      <c r="D3" s="1">
        <v>0.18</v>
      </c>
      <c r="E3" s="2">
        <v>9</v>
      </c>
      <c r="F3" t="s">
        <v>16</v>
      </c>
    </row>
    <row r="4" spans="2:6" x14ac:dyDescent="0.25">
      <c r="B4" t="s">
        <v>3</v>
      </c>
      <c r="C4">
        <v>1</v>
      </c>
      <c r="D4" s="1">
        <v>2</v>
      </c>
      <c r="E4" s="2">
        <v>6</v>
      </c>
      <c r="F4" t="s">
        <v>22</v>
      </c>
    </row>
    <row r="5" spans="2:6" x14ac:dyDescent="0.25">
      <c r="B5" t="s">
        <v>4</v>
      </c>
      <c r="C5">
        <v>1</v>
      </c>
      <c r="D5" s="2">
        <v>4</v>
      </c>
      <c r="E5" s="2">
        <v>9</v>
      </c>
      <c r="F5" t="s">
        <v>21</v>
      </c>
    </row>
    <row r="6" spans="2:6" x14ac:dyDescent="0.25">
      <c r="B6" t="s">
        <v>5</v>
      </c>
      <c r="C6">
        <v>1</v>
      </c>
      <c r="D6" s="2">
        <v>5</v>
      </c>
      <c r="E6" s="2">
        <v>10</v>
      </c>
      <c r="F6" t="s">
        <v>20</v>
      </c>
    </row>
    <row r="7" spans="2:6" x14ac:dyDescent="0.25">
      <c r="B7" t="s">
        <v>6</v>
      </c>
      <c r="C7">
        <v>1</v>
      </c>
      <c r="D7" s="2">
        <v>2</v>
      </c>
      <c r="E7" s="2">
        <v>8</v>
      </c>
      <c r="F7" t="s">
        <v>19</v>
      </c>
    </row>
    <row r="8" spans="2:6" x14ac:dyDescent="0.25">
      <c r="B8" t="s">
        <v>7</v>
      </c>
      <c r="C8">
        <v>1</v>
      </c>
      <c r="D8" s="2">
        <v>6</v>
      </c>
      <c r="E8" s="2">
        <v>30</v>
      </c>
      <c r="F8" t="s">
        <v>18</v>
      </c>
    </row>
    <row r="9" spans="2:6" x14ac:dyDescent="0.25">
      <c r="B9" t="s">
        <v>8</v>
      </c>
      <c r="C9">
        <v>2</v>
      </c>
      <c r="D9" s="1">
        <v>3.5</v>
      </c>
      <c r="E9" s="2">
        <v>7</v>
      </c>
      <c r="F9" t="s">
        <v>17</v>
      </c>
    </row>
    <row r="10" spans="2:6" x14ac:dyDescent="0.25">
      <c r="B10" t="s">
        <v>9</v>
      </c>
      <c r="C10">
        <v>2</v>
      </c>
      <c r="D10" s="1">
        <v>2.5</v>
      </c>
      <c r="E10" s="2">
        <v>10</v>
      </c>
      <c r="F10" t="s">
        <v>14</v>
      </c>
    </row>
    <row r="11" spans="2:6" x14ac:dyDescent="0.25">
      <c r="B11" t="s">
        <v>13</v>
      </c>
      <c r="C11">
        <v>1</v>
      </c>
      <c r="D11" s="1">
        <v>3.5</v>
      </c>
      <c r="E11" s="2">
        <v>7</v>
      </c>
      <c r="F11" t="s">
        <v>15</v>
      </c>
    </row>
    <row r="12" spans="2:6" x14ac:dyDescent="0.25">
      <c r="B12" t="s">
        <v>23</v>
      </c>
      <c r="C12">
        <v>1</v>
      </c>
      <c r="D12" s="2">
        <v>2</v>
      </c>
      <c r="E12" s="2">
        <v>10</v>
      </c>
      <c r="F12" t="s">
        <v>24</v>
      </c>
    </row>
    <row r="13" spans="2:6" x14ac:dyDescent="0.25">
      <c r="B13" t="s">
        <v>25</v>
      </c>
      <c r="C13">
        <v>1</v>
      </c>
      <c r="D13" s="1">
        <v>3</v>
      </c>
      <c r="E13" s="2">
        <v>3</v>
      </c>
      <c r="F13" t="s">
        <v>24</v>
      </c>
    </row>
    <row r="14" spans="2:6" x14ac:dyDescent="0.25">
      <c r="B14" t="s">
        <v>26</v>
      </c>
      <c r="C14">
        <v>1</v>
      </c>
      <c r="D14" s="1">
        <v>2</v>
      </c>
      <c r="E14" s="2">
        <v>2</v>
      </c>
      <c r="F14" t="s">
        <v>24</v>
      </c>
    </row>
    <row r="15" spans="2:6" x14ac:dyDescent="0.25">
      <c r="B15" t="s">
        <v>27</v>
      </c>
      <c r="C15">
        <v>1</v>
      </c>
      <c r="D15" s="1">
        <v>1</v>
      </c>
      <c r="E15" s="2">
        <v>1</v>
      </c>
      <c r="F15" t="s">
        <v>24</v>
      </c>
    </row>
    <row r="16" spans="2:6" x14ac:dyDescent="0.25">
      <c r="B16" t="s">
        <v>28</v>
      </c>
      <c r="C16">
        <v>1</v>
      </c>
      <c r="D16" s="1">
        <v>1</v>
      </c>
      <c r="E16" s="2">
        <v>1</v>
      </c>
      <c r="F16" t="s">
        <v>24</v>
      </c>
    </row>
    <row r="19" spans="2:5" x14ac:dyDescent="0.25">
      <c r="B19" t="s">
        <v>32</v>
      </c>
      <c r="D19" s="1">
        <f>SUM(D3:D16)</f>
        <v>37.68</v>
      </c>
      <c r="E19" s="2">
        <f>SUM(E3:E16)</f>
        <v>113</v>
      </c>
    </row>
    <row r="21" spans="2:5" x14ac:dyDescent="0.25">
      <c r="B21" t="s">
        <v>29</v>
      </c>
    </row>
    <row r="22" spans="2:5" x14ac:dyDescent="0.25">
      <c r="C22" t="s">
        <v>0</v>
      </c>
      <c r="D22" t="s">
        <v>30</v>
      </c>
    </row>
    <row r="23" spans="2:5" x14ac:dyDescent="0.25">
      <c r="C23" t="s">
        <v>26</v>
      </c>
      <c r="D23">
        <v>2</v>
      </c>
    </row>
    <row r="24" spans="2:5" x14ac:dyDescent="0.25">
      <c r="C24" t="s">
        <v>25</v>
      </c>
      <c r="D24">
        <v>7</v>
      </c>
    </row>
    <row r="25" spans="2:5" x14ac:dyDescent="0.25">
      <c r="C25" t="s">
        <v>28</v>
      </c>
      <c r="D25">
        <v>0.5</v>
      </c>
    </row>
    <row r="26" spans="2:5" x14ac:dyDescent="0.25">
      <c r="C26" t="s">
        <v>27</v>
      </c>
      <c r="D26">
        <v>1.1499999999999999</v>
      </c>
    </row>
    <row r="28" spans="2:5" x14ac:dyDescent="0.25">
      <c r="C28" t="s">
        <v>31</v>
      </c>
      <c r="D28">
        <f>SUM(D23:D26)</f>
        <v>10.65</v>
      </c>
    </row>
    <row r="30" spans="2:5" x14ac:dyDescent="0.25">
      <c r="B30" t="s">
        <v>33</v>
      </c>
    </row>
    <row r="32" spans="2:5" x14ac:dyDescent="0.25">
      <c r="B32" t="s">
        <v>34</v>
      </c>
      <c r="D32" s="1">
        <f>D19+D28</f>
        <v>48.33</v>
      </c>
    </row>
    <row r="34" spans="2:4" x14ac:dyDescent="0.25">
      <c r="B34" t="s">
        <v>35</v>
      </c>
    </row>
    <row r="35" spans="2:4" x14ac:dyDescent="0.25">
      <c r="C35" t="s">
        <v>37</v>
      </c>
      <c r="D35">
        <v>4</v>
      </c>
    </row>
    <row r="38" spans="2:4" x14ac:dyDescent="0.25">
      <c r="B38" t="s">
        <v>36</v>
      </c>
      <c r="D38" s="1">
        <f>D32+(D35*19)</f>
        <v>124.33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Terrence Micciche</dc:creator>
  <cp:lastModifiedBy>Micciche-Hall, Terrence</cp:lastModifiedBy>
  <dcterms:created xsi:type="dcterms:W3CDTF">2015-06-05T18:17:20Z</dcterms:created>
  <dcterms:modified xsi:type="dcterms:W3CDTF">2026-03-17T21:44:41Z</dcterms:modified>
</cp:coreProperties>
</file>